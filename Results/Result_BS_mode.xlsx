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result" sheetId="1" r:id="rId1"/>
  </sheets>
  <calcPr calcId="144525"/>
</workbook>
</file>

<file path=xl/sharedStrings.xml><?xml version="1.0" encoding="utf-8"?>
<sst xmlns="http://schemas.openxmlformats.org/spreadsheetml/2006/main" count="74" uniqueCount="72">
  <si>
    <t>Obj of different battery swapping strategoes</t>
  </si>
  <si>
    <t>Average Obj of different battery swapping strategoes</t>
  </si>
  <si>
    <t>Gap of baseline and heuristic strategies</t>
  </si>
  <si>
    <t>Instance</t>
  </si>
  <si>
    <t>Beseline</t>
  </si>
  <si>
    <t>Heu</t>
  </si>
  <si>
    <t>BP</t>
  </si>
  <si>
    <t>Port_num</t>
  </si>
  <si>
    <t>Baseline</t>
  </si>
  <si>
    <t>Heuristic</t>
  </si>
  <si>
    <t>Gap_base</t>
  </si>
  <si>
    <t>Gap_Heu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</si>
  <si>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</si>
  <si>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</si>
  <si>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</si>
  <si>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</si>
  <si>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</si>
  <si>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</si>
  <si>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</si>
  <si>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</si>
  <si>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</si>
  <si>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</si>
  <si>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</si>
  <si>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</si>
  <si>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</si>
  <si>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</si>
  <si>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</si>
  <si>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</si>
  <si>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</si>
  <si>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</si>
  <si>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</si>
  <si>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</si>
  <si>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</si>
  <si>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</si>
  <si>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</si>
  <si>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</si>
  <si>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</si>
  <si>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</si>
  <si>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</si>
  <si>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</si>
  <si>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</si>
  <si>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</si>
  <si>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</si>
  <si>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</si>
  <si>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</si>
  <si>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</si>
  <si>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</si>
  <si>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</si>
  <si>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</si>
  <si>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</si>
  <si>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</si>
  <si>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</si>
  <si>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</si>
  <si>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</si>
  <si>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</si>
  <si>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</si>
  <si>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</si>
  <si>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</si>
  <si>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</si>
  <si>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</si>
  <si>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</si>
  <si>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</si>
  <si>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30-1</t>
  </si>
  <si>
    <t>30-2</t>
  </si>
  <si>
    <t>30-3</t>
  </si>
  <si>
    <t>30-4</t>
  </si>
  <si>
    <t>30-5</t>
  </si>
  <si>
    <t>30-6</t>
  </si>
  <si>
    <t>30-7</t>
  </si>
  <si>
    <t>30-8</t>
  </si>
  <si>
    <t>30-9</t>
  </si>
  <si>
    <t>30-10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</si>
</sst>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76" fontId="0" fillId="0" borderId="2" xfId="0" applyNumberFormat="1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2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tabSelected="1" zoomScale="84" zoomScaleNormal="84" zoomScaleSheetLayoutView="60" workbookViewId="0">
      <selection activeCell="I18" sqref="I18"/>
    </sheetView>
  </sheetViews>
  <sheetFormatPr defaultColWidth="10.3846153846154" defaultRowHeight="16.8"/>
  <cols>
    <col min="1" max="1" width="9.23076923076923" style="1"/>
    <col min="2" max="2" width="12.9230769230769" style="2"/>
    <col min="3" max="3" width="12.9230769230769" style="3"/>
    <col min="4" max="4" width="12.1826923076923" style="3" customWidth="1"/>
    <col min="5" max="6" width="9.23076923076923" style="4"/>
    <col min="7" max="9" width="12.9230769230769" style="4"/>
    <col min="10" max="11" width="9.23076923076923" style="4"/>
    <col min="12" max="13" width="12.9230769230769" style="4"/>
    <col min="14" max="16384" width="10.3846153846154" style="4"/>
  </cols>
  <sheetData>
    <row r="1" spans="1:11">
      <c r="A1" s="1" t="s">
        <v>0</v>
      </c>
      <c r="F1" s="4" t="s">
        <v>1</v>
      </c>
      <c r="K1" s="4" t="s">
        <v>2</v>
      </c>
    </row>
    <row r="2" spans="1:13">
      <c r="A2" s="5" t="s">
        <v>3</v>
      </c>
      <c r="B2" s="6" t="s">
        <v>4</v>
      </c>
      <c r="C2" s="7" t="s">
        <v>5</v>
      </c>
      <c r="D2" s="7" t="s">
        <v>6</v>
      </c>
      <c r="F2" s="11" t="s">
        <v>7</v>
      </c>
      <c r="G2" s="12" t="s">
        <v>8</v>
      </c>
      <c r="H2" s="13" t="s">
        <v>9</v>
      </c>
      <c r="I2" s="7" t="s">
        <v>6</v>
      </c>
      <c r="K2" s="11" t="s">
        <v>7</v>
      </c>
      <c r="L2" s="11" t="s">
        <v>10</v>
      </c>
      <c r="M2" s="11" t="s">
        <v>11</v>
      </c>
    </row>
    <row r="3" spans="1:13">
      <c r="A3" s="1" t="s">
        <v>12</v>
      </c>
      <c r="B3" s="2">
        <v>8870.96470588235</v>
      </c>
      <c r="C3" s="2">
        <v>8842.16470588235</v>
      </c>
      <c r="D3" s="2">
        <v>8842.1647</v>
      </c>
      <c r="E3" s="14"/>
      <c r="F3" s="4">
        <v>5</v>
      </c>
      <c r="G3" s="15">
        <f>AVERAGE(B3:B12)</f>
        <v>9187.87764705882</v>
      </c>
      <c r="H3" s="15">
        <f t="shared" ref="G3:I3" si="0">AVERAGE(C3:C12)</f>
        <v>9155.23764705882</v>
      </c>
      <c r="I3" s="15">
        <f t="shared" si="0"/>
        <v>8119.96238</v>
      </c>
      <c r="K3" s="4">
        <v>5</v>
      </c>
      <c r="L3" s="18">
        <f>(G3-I3)/I3</f>
        <v>0.13151726782493</v>
      </c>
      <c r="M3" s="18">
        <f t="shared" ref="M3:M8" si="1">(H3-I3)/I3</f>
        <v>0.127497544768036</v>
      </c>
    </row>
    <row r="4" spans="1:13">
      <c r="A4" s="1" t="s">
        <v>13</v>
      </c>
      <c r="B4" s="2">
        <v>8870.96470588235</v>
      </c>
      <c r="C4" s="2">
        <v>8842.16470588235</v>
      </c>
      <c r="D4" s="2">
        <v>8842.1647</v>
      </c>
      <c r="E4" s="14"/>
      <c r="F4" s="4">
        <v>10</v>
      </c>
      <c r="G4" s="15">
        <f t="shared" ref="G4:I4" si="2">AVERAGEA(B13:B22)</f>
        <v>41973.0070588235</v>
      </c>
      <c r="H4" s="15">
        <f t="shared" si="2"/>
        <v>41840.5270588235</v>
      </c>
      <c r="I4" s="15">
        <f t="shared" si="2"/>
        <v>35946.86118</v>
      </c>
      <c r="K4" s="4">
        <v>10</v>
      </c>
      <c r="L4" s="18">
        <f t="shared" ref="L3:L8" si="3">(G4-I4)/I4</f>
        <v>0.167640391428008</v>
      </c>
      <c r="M4" s="18">
        <f t="shared" si="1"/>
        <v>0.163954951429878</v>
      </c>
    </row>
    <row r="5" spans="1:13">
      <c r="A5" s="1" t="s">
        <v>14</v>
      </c>
      <c r="B5" s="2">
        <v>9663.24705882352</v>
      </c>
      <c r="C5" s="2">
        <v>9624.84705882352</v>
      </c>
      <c r="D5" s="2">
        <v>7810.4471</v>
      </c>
      <c r="E5" s="14"/>
      <c r="F5" s="4">
        <v>15</v>
      </c>
      <c r="G5" s="15">
        <f t="shared" ref="G5:I5" si="4">AVERAGE(B23:B32)</f>
        <v>97591.1152941173</v>
      </c>
      <c r="H5" s="15">
        <f t="shared" si="4"/>
        <v>97313.67529</v>
      </c>
      <c r="I5" s="15">
        <f t="shared" si="4"/>
        <v>84254.73881</v>
      </c>
      <c r="K5" s="4">
        <v>15</v>
      </c>
      <c r="L5" s="18">
        <f t="shared" si="3"/>
        <v>0.158286366707417</v>
      </c>
      <c r="M5" s="18">
        <f t="shared" si="1"/>
        <v>0.154993495492862</v>
      </c>
    </row>
    <row r="6" spans="1:13">
      <c r="A6" s="1" t="s">
        <v>15</v>
      </c>
      <c r="B6" s="2">
        <v>8870.96470588235</v>
      </c>
      <c r="C6" s="2">
        <v>8842.16470588235</v>
      </c>
      <c r="D6" s="2">
        <v>7810.4471</v>
      </c>
      <c r="E6" s="14"/>
      <c r="F6" s="4">
        <v>20</v>
      </c>
      <c r="G6" s="15">
        <f t="shared" ref="G6:I6" si="5">AVERAGE(B33:B42)</f>
        <v>185325.402352941</v>
      </c>
      <c r="H6" s="15">
        <f t="shared" si="5"/>
        <v>184846.36235</v>
      </c>
      <c r="I6" s="15">
        <f t="shared" si="5"/>
        <v>157541.19529</v>
      </c>
      <c r="K6" s="4">
        <v>20</v>
      </c>
      <c r="L6" s="18">
        <f t="shared" si="3"/>
        <v>0.176361535227632</v>
      </c>
      <c r="M6" s="18">
        <f t="shared" si="1"/>
        <v>0.17332080672447</v>
      </c>
    </row>
    <row r="7" spans="1:13">
      <c r="A7" s="1" t="s">
        <v>16</v>
      </c>
      <c r="B7" s="2">
        <v>8870.96470588235</v>
      </c>
      <c r="C7" s="2">
        <v>8842.16470588235</v>
      </c>
      <c r="D7" s="2">
        <v>7810.4471</v>
      </c>
      <c r="E7" s="14"/>
      <c r="F7" s="4">
        <v>25</v>
      </c>
      <c r="G7" s="15">
        <f t="shared" ref="G7:I7" si="6">AVERAGE(B43:B52)</f>
        <v>330908.498823529</v>
      </c>
      <c r="H7" s="15">
        <f t="shared" si="6"/>
        <v>330170.258823529</v>
      </c>
      <c r="I7" s="15">
        <f t="shared" si="6"/>
        <v>269014.81408</v>
      </c>
      <c r="K7" s="4">
        <v>25</v>
      </c>
      <c r="L7" s="18">
        <f t="shared" si="3"/>
        <v>0.230075376908882</v>
      </c>
      <c r="M7" s="18">
        <f t="shared" si="1"/>
        <v>0.22733114141938</v>
      </c>
    </row>
    <row r="8" spans="1:13">
      <c r="A8" s="1" t="s">
        <v>17</v>
      </c>
      <c r="B8" s="2">
        <v>8870.96470588235</v>
      </c>
      <c r="C8" s="2">
        <v>8842.16470588235</v>
      </c>
      <c r="D8" s="2">
        <v>8842.1647</v>
      </c>
      <c r="E8" s="14"/>
      <c r="F8" s="16">
        <v>30</v>
      </c>
      <c r="G8" s="17">
        <f t="shared" ref="G8:I8" si="7">AVERAGE(B53:B62)</f>
        <v>426762.444073298</v>
      </c>
      <c r="H8" s="17">
        <f t="shared" si="7"/>
        <v>425866.764073298</v>
      </c>
      <c r="I8" s="17">
        <f t="shared" si="7"/>
        <v>358401.00715</v>
      </c>
      <c r="K8" s="16">
        <v>30</v>
      </c>
      <c r="L8" s="19">
        <f t="shared" si="3"/>
        <v>0.190740080411345</v>
      </c>
      <c r="M8" s="19">
        <f t="shared" si="1"/>
        <v>0.18824098029128</v>
      </c>
    </row>
    <row r="9" spans="1:5">
      <c r="A9" s="1" t="s">
        <v>18</v>
      </c>
      <c r="B9" s="2">
        <v>8870.96470588235</v>
      </c>
      <c r="C9" s="2">
        <v>8842.16470588235</v>
      </c>
      <c r="D9" s="2">
        <v>7810.4471</v>
      </c>
      <c r="E9" s="14"/>
    </row>
    <row r="10" spans="1:5">
      <c r="A10" s="1" t="s">
        <v>19</v>
      </c>
      <c r="B10" s="2">
        <v>9663.24705882352</v>
      </c>
      <c r="C10" s="2">
        <v>9624.84705882352</v>
      </c>
      <c r="D10" s="2">
        <v>7810.4471</v>
      </c>
      <c r="E10" s="14"/>
    </row>
    <row r="11" spans="1:5">
      <c r="A11" s="1" t="s">
        <v>20</v>
      </c>
      <c r="B11" s="2">
        <v>9663.24705882352</v>
      </c>
      <c r="C11" s="2">
        <v>9624.84705882352</v>
      </c>
      <c r="D11" s="2">
        <v>7810.4471</v>
      </c>
      <c r="E11" s="14"/>
    </row>
    <row r="12" spans="1:5">
      <c r="A12" s="1" t="s">
        <v>21</v>
      </c>
      <c r="B12" s="2">
        <v>9663.24705882352</v>
      </c>
      <c r="C12" s="2">
        <v>9624.84705882352</v>
      </c>
      <c r="D12" s="2">
        <v>7810.4471</v>
      </c>
      <c r="E12" s="14"/>
    </row>
    <row r="13" spans="1:4">
      <c r="A13" s="1" t="s">
        <v>22</v>
      </c>
      <c r="B13" s="2">
        <v>34219.4823529411</v>
      </c>
      <c r="C13" s="2">
        <v>34094.6823529411</v>
      </c>
      <c r="D13" s="2">
        <v>34094.6824</v>
      </c>
    </row>
    <row r="14" spans="1:4">
      <c r="A14" s="1" t="s">
        <v>23</v>
      </c>
      <c r="B14" s="2">
        <v>48355.7647058823</v>
      </c>
      <c r="C14" s="2">
        <v>48202.1647058823</v>
      </c>
      <c r="D14" s="2">
        <v>33062.9647</v>
      </c>
    </row>
    <row r="15" spans="1:4">
      <c r="A15" s="1" t="s">
        <v>24</v>
      </c>
      <c r="B15" s="2">
        <v>40063.6235294117</v>
      </c>
      <c r="C15" s="2">
        <v>39938.8235294117</v>
      </c>
      <c r="D15" s="2">
        <v>39938.8235</v>
      </c>
    </row>
    <row r="16" spans="1:4">
      <c r="A16" s="1" t="s">
        <v>25</v>
      </c>
      <c r="B16" s="2">
        <v>48355.7647058823</v>
      </c>
      <c r="C16" s="2">
        <v>48202.1647058823</v>
      </c>
      <c r="D16" s="2">
        <v>39156.1412</v>
      </c>
    </row>
    <row r="17" spans="1:4">
      <c r="A17" s="1" t="s">
        <v>26</v>
      </c>
      <c r="B17" s="2">
        <v>39271.3411764705</v>
      </c>
      <c r="C17" s="2">
        <v>39156.1411764705</v>
      </c>
      <c r="D17" s="2">
        <v>32280.2824</v>
      </c>
    </row>
    <row r="18" spans="1:4">
      <c r="A18" s="1" t="s">
        <v>27</v>
      </c>
      <c r="B18" s="2">
        <v>39271.3411764705</v>
      </c>
      <c r="C18" s="2">
        <v>39156.1411764705</v>
      </c>
      <c r="D18" s="2">
        <v>34637.9294</v>
      </c>
    </row>
    <row r="19" spans="1:4">
      <c r="A19" s="1" t="s">
        <v>28</v>
      </c>
      <c r="B19" s="2">
        <v>48355.7647058823</v>
      </c>
      <c r="C19" s="2">
        <v>48202.1647058823</v>
      </c>
      <c r="D19" s="2">
        <v>37555.2</v>
      </c>
    </row>
    <row r="20" spans="1:4">
      <c r="A20" s="1" t="s">
        <v>29</v>
      </c>
      <c r="B20" s="2">
        <v>41709.7411764705</v>
      </c>
      <c r="C20" s="2">
        <v>41575.3411764705</v>
      </c>
      <c r="D20" s="2">
        <v>33062.9647</v>
      </c>
    </row>
    <row r="21" spans="1:4">
      <c r="A21" s="1" t="s">
        <v>30</v>
      </c>
      <c r="B21" s="2">
        <v>40063.6235294117</v>
      </c>
      <c r="C21" s="2">
        <v>39938.8235294117</v>
      </c>
      <c r="D21" s="2">
        <v>38124.4235</v>
      </c>
    </row>
    <row r="22" spans="1:4">
      <c r="A22" s="1" t="s">
        <v>31</v>
      </c>
      <c r="B22" s="2">
        <v>40063.6235294117</v>
      </c>
      <c r="C22" s="2">
        <v>39938.8235294117</v>
      </c>
      <c r="D22" s="2">
        <v>37555.2</v>
      </c>
    </row>
    <row r="23" spans="1:4">
      <c r="A23" s="1" t="s">
        <v>32</v>
      </c>
      <c r="B23" s="2">
        <v>87446.3999999999</v>
      </c>
      <c r="C23" s="2">
        <v>87196.8</v>
      </c>
      <c r="D23" s="2">
        <v>86689.1294</v>
      </c>
    </row>
    <row r="24" spans="1:4">
      <c r="A24" s="1" t="s">
        <v>33</v>
      </c>
      <c r="B24" s="2">
        <v>103665.317647058</v>
      </c>
      <c r="C24" s="2">
        <v>103358.1176</v>
      </c>
      <c r="D24" s="2">
        <v>79137.3176</v>
      </c>
    </row>
    <row r="25" spans="1:4">
      <c r="A25" s="1" t="s">
        <v>34</v>
      </c>
      <c r="B25" s="2">
        <v>93300.1411764705</v>
      </c>
      <c r="C25" s="2">
        <v>93040.94118</v>
      </c>
      <c r="D25" s="2">
        <v>86653.5529</v>
      </c>
    </row>
    <row r="26" spans="1:4">
      <c r="A26" s="1" t="s">
        <v>35</v>
      </c>
      <c r="B26" s="2">
        <v>103665.317647058</v>
      </c>
      <c r="C26" s="2">
        <v>103358.1176</v>
      </c>
      <c r="D26" s="2">
        <v>84635.2941</v>
      </c>
    </row>
    <row r="27" spans="1:4">
      <c r="A27" s="1" t="s">
        <v>36</v>
      </c>
      <c r="B27" s="2">
        <v>92507.8588235293</v>
      </c>
      <c r="C27" s="2">
        <v>92258.25882</v>
      </c>
      <c r="D27" s="2">
        <v>78364.2353</v>
      </c>
    </row>
    <row r="28" spans="1:4">
      <c r="A28" s="1" t="s">
        <v>37</v>
      </c>
      <c r="B28" s="2">
        <v>91084.7999999999</v>
      </c>
      <c r="C28" s="2">
        <v>90835.2</v>
      </c>
      <c r="D28" s="2">
        <v>79777.6941</v>
      </c>
    </row>
    <row r="29" spans="1:4">
      <c r="A29" s="1" t="s">
        <v>38</v>
      </c>
      <c r="B29" s="2">
        <v>101592.282352941</v>
      </c>
      <c r="C29" s="2">
        <v>101294.6824</v>
      </c>
      <c r="D29" s="2">
        <v>87588.1412</v>
      </c>
    </row>
    <row r="30" spans="1:4">
      <c r="A30" s="1" t="s">
        <v>39</v>
      </c>
      <c r="B30" s="2">
        <v>94946.2588235294</v>
      </c>
      <c r="C30" s="2">
        <v>94667.85882</v>
      </c>
      <c r="D30" s="2">
        <v>88218.9176</v>
      </c>
    </row>
    <row r="31" spans="1:4">
      <c r="A31" s="1" t="s">
        <v>40</v>
      </c>
      <c r="B31" s="2">
        <v>114402.635294117</v>
      </c>
      <c r="C31" s="2">
        <v>114085.8353</v>
      </c>
      <c r="D31" s="2">
        <v>90495.8118</v>
      </c>
    </row>
    <row r="32" spans="1:4">
      <c r="A32" s="1" t="s">
        <v>41</v>
      </c>
      <c r="B32" s="2">
        <v>93300.1411764705</v>
      </c>
      <c r="C32" s="2">
        <v>93040.94118</v>
      </c>
      <c r="D32" s="2">
        <v>80987.2941</v>
      </c>
    </row>
    <row r="33" spans="1:4">
      <c r="A33" s="1" t="s">
        <v>42</v>
      </c>
      <c r="B33" s="2">
        <v>203399.152941176</v>
      </c>
      <c r="C33" s="2">
        <v>202899.9529</v>
      </c>
      <c r="D33" s="2">
        <v>174212.8941</v>
      </c>
    </row>
    <row r="34" spans="1:4">
      <c r="A34" s="1" t="s">
        <v>43</v>
      </c>
      <c r="B34" s="2">
        <v>184061.929411764</v>
      </c>
      <c r="C34" s="2">
        <v>183562.7294</v>
      </c>
      <c r="D34" s="2">
        <v>168271.6235</v>
      </c>
    </row>
    <row r="35" spans="1:4">
      <c r="A35" s="1" t="s">
        <v>44</v>
      </c>
      <c r="B35" s="2">
        <v>173687.152941176</v>
      </c>
      <c r="C35" s="2">
        <v>173235.9529</v>
      </c>
      <c r="D35" s="2">
        <v>157909.2706</v>
      </c>
    </row>
    <row r="36" spans="1:4">
      <c r="A36" s="1" t="s">
        <v>45</v>
      </c>
      <c r="B36" s="2">
        <v>184061.929411764</v>
      </c>
      <c r="C36" s="2">
        <v>183562.7294</v>
      </c>
      <c r="D36" s="2">
        <v>160115.0118</v>
      </c>
    </row>
    <row r="37" spans="1:4">
      <c r="A37" s="1" t="s">
        <v>46</v>
      </c>
      <c r="B37" s="2">
        <v>172904.470588235</v>
      </c>
      <c r="C37" s="2">
        <v>172462.8706</v>
      </c>
      <c r="D37" s="2">
        <v>155312.1882</v>
      </c>
    </row>
    <row r="38" spans="1:4">
      <c r="A38" s="1" t="s">
        <v>47</v>
      </c>
      <c r="B38" s="2">
        <v>171471.811764705</v>
      </c>
      <c r="C38" s="2">
        <v>171030.2118</v>
      </c>
      <c r="D38" s="2">
        <v>147084.4235</v>
      </c>
    </row>
    <row r="39" spans="1:4">
      <c r="A39" s="1" t="s">
        <v>48</v>
      </c>
      <c r="B39" s="2">
        <v>180831.247058823</v>
      </c>
      <c r="C39" s="2">
        <v>180351.2471</v>
      </c>
      <c r="D39" s="2">
        <v>150438.2118</v>
      </c>
    </row>
    <row r="40" spans="1:4">
      <c r="A40" s="1" t="s">
        <v>49</v>
      </c>
      <c r="B40" s="2">
        <v>210899.011764705</v>
      </c>
      <c r="C40" s="2">
        <v>210371.0118</v>
      </c>
      <c r="D40" s="2">
        <v>160480.3765</v>
      </c>
    </row>
    <row r="41" spans="1:4">
      <c r="A41" s="1" t="s">
        <v>50</v>
      </c>
      <c r="B41" s="2">
        <v>198240.564705882</v>
      </c>
      <c r="C41" s="2">
        <v>197741.3647</v>
      </c>
      <c r="D41" s="2">
        <v>151709.3647</v>
      </c>
    </row>
    <row r="42" spans="1:4">
      <c r="A42" s="1" t="s">
        <v>51</v>
      </c>
      <c r="B42" s="2">
        <v>173696.752941176</v>
      </c>
      <c r="C42" s="2">
        <v>173245.5529</v>
      </c>
      <c r="D42" s="2">
        <v>149878.5882</v>
      </c>
    </row>
    <row r="43" spans="1:12">
      <c r="A43" s="1" t="s">
        <v>52</v>
      </c>
      <c r="B43" s="2">
        <v>323032.658823529</v>
      </c>
      <c r="C43" s="2">
        <v>322303.058823529</v>
      </c>
      <c r="D43" s="2">
        <v>261487.6235</v>
      </c>
      <c r="G43" s="2"/>
      <c r="H43" s="2"/>
      <c r="I43" s="2"/>
      <c r="J43" s="2"/>
      <c r="K43" s="2"/>
      <c r="L43" s="2"/>
    </row>
    <row r="44" spans="1:12">
      <c r="A44" s="1" t="s">
        <v>53</v>
      </c>
      <c r="B44" s="2">
        <v>361027.199999999</v>
      </c>
      <c r="C44" s="2">
        <v>360220.799999999</v>
      </c>
      <c r="D44" s="2">
        <v>268499.0118</v>
      </c>
      <c r="G44" s="2"/>
      <c r="H44" s="2"/>
      <c r="I44" s="2"/>
      <c r="J44" s="2"/>
      <c r="K44" s="2"/>
      <c r="L44" s="2"/>
    </row>
    <row r="45" spans="1:12">
      <c r="A45" s="1" t="s">
        <v>54</v>
      </c>
      <c r="B45" s="2">
        <v>350652.423529411</v>
      </c>
      <c r="C45" s="2">
        <v>349894.023529411</v>
      </c>
      <c r="D45" s="2">
        <v>291827.5765</v>
      </c>
      <c r="G45" s="2"/>
      <c r="H45" s="2"/>
      <c r="I45" s="2"/>
      <c r="J45" s="2"/>
      <c r="K45" s="2"/>
      <c r="L45" s="2"/>
    </row>
    <row r="46" spans="1:12">
      <c r="A46" s="1" t="s">
        <v>55</v>
      </c>
      <c r="B46" s="2">
        <v>303695.435294117</v>
      </c>
      <c r="C46" s="2">
        <v>302965.835294117</v>
      </c>
      <c r="D46" s="2">
        <v>276342.2118</v>
      </c>
      <c r="G46" s="2"/>
      <c r="H46" s="2"/>
      <c r="I46" s="2"/>
      <c r="J46" s="2"/>
      <c r="K46" s="2"/>
      <c r="L46" s="2"/>
    </row>
    <row r="47" spans="1:12">
      <c r="A47" s="1" t="s">
        <v>56</v>
      </c>
      <c r="B47" s="2">
        <v>292537.976470588</v>
      </c>
      <c r="C47" s="2">
        <v>291865.976470588</v>
      </c>
      <c r="D47" s="2">
        <v>271351.9055</v>
      </c>
      <c r="G47" s="2"/>
      <c r="H47" s="2"/>
      <c r="I47" s="2"/>
      <c r="J47" s="2"/>
      <c r="K47" s="2"/>
      <c r="L47" s="2"/>
    </row>
    <row r="48" spans="1:12">
      <c r="A48" s="1" t="s">
        <v>57</v>
      </c>
      <c r="B48" s="2">
        <v>348437.082352941</v>
      </c>
      <c r="C48" s="2">
        <v>347688.282352941</v>
      </c>
      <c r="D48" s="2">
        <v>245148.4235</v>
      </c>
      <c r="G48" s="2"/>
      <c r="H48" s="2"/>
      <c r="I48" s="2"/>
      <c r="J48" s="2"/>
      <c r="K48" s="2"/>
      <c r="L48" s="2"/>
    </row>
    <row r="49" spans="1:12">
      <c r="A49" s="1" t="s">
        <v>58</v>
      </c>
      <c r="B49" s="2">
        <v>357796.517647058</v>
      </c>
      <c r="C49" s="2">
        <v>357009.317647058</v>
      </c>
      <c r="D49" s="2">
        <v>272962.4471</v>
      </c>
      <c r="G49" s="2"/>
      <c r="H49" s="2"/>
      <c r="I49" s="2"/>
      <c r="J49" s="2"/>
      <c r="K49" s="2"/>
      <c r="L49" s="2"/>
    </row>
    <row r="50" spans="1:12">
      <c r="A50" s="1" t="s">
        <v>59</v>
      </c>
      <c r="B50" s="2">
        <v>330532.517647058</v>
      </c>
      <c r="C50" s="2">
        <v>329774.117647058</v>
      </c>
      <c r="D50" s="2">
        <v>293428.5176</v>
      </c>
      <c r="G50" s="2"/>
      <c r="H50" s="2"/>
      <c r="I50" s="2"/>
      <c r="J50" s="2"/>
      <c r="K50" s="2"/>
      <c r="L50" s="2"/>
    </row>
    <row r="51" spans="1:12">
      <c r="A51" s="1" t="s">
        <v>60</v>
      </c>
      <c r="B51" s="2">
        <v>333954.635294117</v>
      </c>
      <c r="C51" s="2">
        <v>333234.635294117</v>
      </c>
      <c r="D51" s="2">
        <v>257254.0235</v>
      </c>
      <c r="G51" s="2"/>
      <c r="H51" s="2"/>
      <c r="I51" s="2"/>
      <c r="J51" s="2"/>
      <c r="K51" s="2"/>
      <c r="L51" s="2"/>
    </row>
    <row r="52" spans="1:12">
      <c r="A52" s="1" t="s">
        <v>61</v>
      </c>
      <c r="B52" s="2">
        <v>307418.54117647</v>
      </c>
      <c r="C52" s="2">
        <v>306746.54117647</v>
      </c>
      <c r="D52" s="2">
        <v>251846.4</v>
      </c>
      <c r="G52" s="2"/>
      <c r="H52" s="2"/>
      <c r="I52" s="2"/>
      <c r="J52" s="2"/>
      <c r="K52" s="2"/>
      <c r="L52" s="2"/>
    </row>
    <row r="53" spans="1:12">
      <c r="A53" s="1" t="s">
        <v>62</v>
      </c>
      <c r="B53" s="2">
        <v>462339.654722823</v>
      </c>
      <c r="C53" s="2">
        <v>461379.654722823</v>
      </c>
      <c r="D53" s="2">
        <v>350220.69</v>
      </c>
      <c r="G53" s="2"/>
      <c r="H53" s="2"/>
      <c r="I53" s="2"/>
      <c r="J53" s="2"/>
      <c r="K53" s="2"/>
      <c r="L53" s="2"/>
    </row>
    <row r="54" spans="1:12">
      <c r="A54" s="1" t="s">
        <v>63</v>
      </c>
      <c r="B54" s="2">
        <v>435780.937029458</v>
      </c>
      <c r="C54" s="2">
        <v>434859.337029458</v>
      </c>
      <c r="D54" s="2">
        <v>371048.2152</v>
      </c>
      <c r="G54" s="2"/>
      <c r="H54" s="2"/>
      <c r="I54" s="2"/>
      <c r="J54" s="2"/>
      <c r="K54" s="2"/>
      <c r="L54" s="2"/>
    </row>
    <row r="55" spans="1:12">
      <c r="A55" s="1" t="s">
        <v>64</v>
      </c>
      <c r="B55" s="2">
        <v>422049.636360282</v>
      </c>
      <c r="C55" s="2">
        <v>421166.436360282</v>
      </c>
      <c r="D55" s="2">
        <v>396224.5069</v>
      </c>
      <c r="G55" s="2"/>
      <c r="H55" s="2"/>
      <c r="I55" s="2"/>
      <c r="J55" s="2"/>
      <c r="K55" s="2"/>
      <c r="L55" s="2"/>
    </row>
    <row r="56" spans="1:12">
      <c r="A56" s="1" t="s">
        <v>65</v>
      </c>
      <c r="B56" s="2">
        <v>447349.077695999</v>
      </c>
      <c r="C56" s="2">
        <v>446408.277695999</v>
      </c>
      <c r="D56" s="2">
        <v>377054.6199</v>
      </c>
      <c r="G56" s="2"/>
      <c r="H56" s="2"/>
      <c r="I56" s="2"/>
      <c r="J56" s="2"/>
      <c r="K56" s="2"/>
      <c r="L56" s="2"/>
    </row>
    <row r="57" spans="1:12">
      <c r="A57" s="1" t="s">
        <v>66</v>
      </c>
      <c r="B57" s="2">
        <v>370632.54884047</v>
      </c>
      <c r="C57" s="2">
        <v>369826.14884047</v>
      </c>
      <c r="D57" s="2">
        <v>338590.3059</v>
      </c>
      <c r="G57" s="2"/>
      <c r="H57" s="2"/>
      <c r="I57" s="2"/>
      <c r="J57" s="2"/>
      <c r="K57" s="2"/>
      <c r="L57" s="2"/>
    </row>
    <row r="58" spans="1:12">
      <c r="A58" s="1" t="s">
        <v>67</v>
      </c>
      <c r="B58" s="2">
        <v>425532.089970634</v>
      </c>
      <c r="C58" s="2">
        <v>424629.689970634</v>
      </c>
      <c r="D58" s="2">
        <v>337306.9177</v>
      </c>
      <c r="G58" s="2"/>
      <c r="H58" s="2"/>
      <c r="I58" s="2"/>
      <c r="J58" s="2"/>
      <c r="K58" s="2"/>
      <c r="L58" s="2"/>
    </row>
    <row r="59" spans="1:12">
      <c r="A59" s="1" t="s">
        <v>68</v>
      </c>
      <c r="B59" s="2">
        <v>432676.643468046</v>
      </c>
      <c r="C59" s="2">
        <v>431783.843468046</v>
      </c>
      <c r="D59" s="2">
        <v>337358.3841</v>
      </c>
      <c r="G59" s="2"/>
      <c r="H59" s="2"/>
      <c r="I59" s="2"/>
      <c r="J59" s="2"/>
      <c r="K59" s="2"/>
      <c r="L59" s="2"/>
    </row>
    <row r="60" spans="1:12">
      <c r="A60" s="1" t="s">
        <v>69</v>
      </c>
      <c r="B60" s="2">
        <v>470108.506438588</v>
      </c>
      <c r="C60" s="2">
        <v>469148.506438588</v>
      </c>
      <c r="D60" s="2">
        <v>389843.1376</v>
      </c>
      <c r="G60" s="2"/>
      <c r="H60" s="2"/>
      <c r="I60" s="2"/>
      <c r="J60" s="2"/>
      <c r="K60" s="2"/>
      <c r="L60" s="2"/>
    </row>
    <row r="61" spans="1:12">
      <c r="A61" s="1" t="s">
        <v>70</v>
      </c>
      <c r="B61" s="2">
        <v>412715.231648752</v>
      </c>
      <c r="C61" s="2">
        <v>411841.631648752</v>
      </c>
      <c r="D61" s="2">
        <v>368972.6118</v>
      </c>
      <c r="G61" s="2"/>
      <c r="H61" s="2"/>
      <c r="I61" s="2"/>
      <c r="J61" s="2"/>
      <c r="K61" s="2"/>
      <c r="L61" s="2"/>
    </row>
    <row r="62" spans="1:4">
      <c r="A62" s="8" t="s">
        <v>71</v>
      </c>
      <c r="B62" s="9">
        <v>388440.114557929</v>
      </c>
      <c r="C62" s="9">
        <v>387624.114557929</v>
      </c>
      <c r="D62" s="9">
        <v>317390.6824</v>
      </c>
    </row>
    <row r="63" spans="1:3">
      <c r="A63" s="10"/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2025-11-24T04:06:00Z</dcterms:created>
  <dcterms:modified xsi:type="dcterms:W3CDTF">2025-12-04T16:18:27Z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4057A0B220F8E1BFCC5520698087727F_43</vt:lpwstr>
  </property>
  <property fmtid="{D5CDD505-2E9C-101B-9397-08002B2CF9AE}" pid="3" name="KSOProductBuildVer">
    <vt:lpwstr>2052-6.5.2.8766</vt:lpwstr>
  </property>
</Properties>
</file>